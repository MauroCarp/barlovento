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\Desktop\COSECHA LA BETY\Costos Lotes y Cosecha\"/>
    </mc:Choice>
  </mc:AlternateContent>
  <xr:revisionPtr revIDLastSave="0" documentId="8_{719DA236-33C9-4D28-8246-CC39FF59B79C}" xr6:coauthVersionLast="47" xr6:coauthVersionMax="47" xr10:uidLastSave="{00000000-0000-0000-0000-000000000000}"/>
  <bookViews>
    <workbookView xWindow="-108" yWindow="-108" windowWidth="23256" windowHeight="12456" xr2:uid="{9530214C-1448-4780-83B6-5B8B33174982}"/>
  </bookViews>
  <sheets>
    <sheet name="Hoja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F7" i="1"/>
  <c r="H7" i="1"/>
  <c r="D8" i="1"/>
  <c r="F8" i="1"/>
  <c r="H8" i="1"/>
  <c r="C10" i="1"/>
  <c r="D10" i="1" s="1"/>
  <c r="E10" i="1"/>
  <c r="F10" i="1" s="1"/>
  <c r="G10" i="1"/>
  <c r="H10" i="1"/>
</calcChain>
</file>

<file path=xl/sharedStrings.xml><?xml version="1.0" encoding="utf-8"?>
<sst xmlns="http://schemas.openxmlformats.org/spreadsheetml/2006/main" count="18" uniqueCount="14">
  <si>
    <t>Totales:</t>
  </si>
  <si>
    <t xml:space="preserve">   </t>
  </si>
  <si>
    <t>Siembra Directa</t>
  </si>
  <si>
    <t>Pulverizacion</t>
  </si>
  <si>
    <t>U$S/Ha.Asig.</t>
  </si>
  <si>
    <t>U$S</t>
  </si>
  <si>
    <t>Cos. Total U$S</t>
  </si>
  <si>
    <t>Cos.Insumos U$S</t>
  </si>
  <si>
    <t>Cos. Labor U$S</t>
  </si>
  <si>
    <t>Has. Asignadas</t>
  </si>
  <si>
    <t>(Lote: LA BETY\Lote 4A   Cultivo: Soja)   Moneda: Moneda: Dolares (U$S)</t>
  </si>
  <si>
    <t>Campaña: Campaña 25-26  -  Desde: 31/12/2024      Hasta: 30/09/2027</t>
  </si>
  <si>
    <t xml:space="preserve">Por Labor - Propias y Contratadas - </t>
  </si>
  <si>
    <t>Partes de Trabajo y Otras Tareas - Resumen (Cultivos)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</si>
</sst>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*;\-#,##0.00"/>
  </numFmts>
  <fonts count="5" x14ac:knownFonts="1">
    <font>
      <sz val="8"/>
      <name val="MS Sans Serif"/>
      <charset val="1"/>
    </font>
    <font>
      <b/>
      <sz val="8"/>
      <name val="MS Sans Serif"/>
      <charset val="1"/>
    </font>
    <font>
      <b/>
      <sz val="10"/>
      <name val="MS Sans Serif"/>
      <charset val="1"/>
    </font>
    <font>
      <sz val="9"/>
      <name val="MS Sans Serif"/>
      <charset val="1"/>
    </font>
    <font>
      <b/>
      <sz val="9"/>
      <name val="MS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19">
    <xf numFmtId="0" fontId="0" fillId="0" borderId="0" xfId="0">
      <protection locked="0"/>
    </xf>
    <xf numFmtId="0" fontId="0" fillId="0" borderId="0" xfId="0" applyAlignment="1">
      <alignment vertical="top"/>
      <protection locked="0"/>
    </xf>
    <xf numFmtId="0" fontId="0" fillId="0" borderId="1" xfId="0" applyBorder="1" applyAlignment="1">
      <alignment vertical="top"/>
      <protection locked="0"/>
    </xf>
    <xf numFmtId="164" fontId="0" fillId="0" borderId="1" xfId="0" applyNumberFormat="1" applyBorder="1" applyAlignment="1" applyProtection="1">
      <alignment horizontal="right" vertical="top"/>
    </xf>
    <xf numFmtId="164" fontId="1" fillId="0" borderId="1" xfId="0" applyNumberFormat="1" applyFont="1" applyBorder="1" applyAlignment="1" applyProtection="1">
      <alignment horizontal="right" vertical="top"/>
    </xf>
    <xf numFmtId="0" fontId="2" fillId="0" borderId="1" xfId="0" applyFont="1" applyBorder="1" applyAlignment="1" applyProtection="1">
      <alignment horizontal="left" vertical="top"/>
    </xf>
    <xf numFmtId="0" fontId="0" fillId="0" borderId="1" xfId="0" applyBorder="1" applyAlignment="1" applyProtection="1">
      <alignment horizontal="left" vertical="top"/>
    </xf>
    <xf numFmtId="0" fontId="1" fillId="0" borderId="1" xfId="0" applyFont="1" applyBorder="1" applyAlignment="1" applyProtection="1">
      <alignment horizontal="left" vertical="top"/>
    </xf>
    <xf numFmtId="0" fontId="1" fillId="0" borderId="1" xfId="0" applyFont="1" applyBorder="1" applyAlignment="1" applyProtection="1">
      <alignment horizontal="center" vertical="top"/>
    </xf>
    <xf numFmtId="0" fontId="0" fillId="0" borderId="1" xfId="0" applyBorder="1" applyAlignment="1" applyProtection="1">
      <alignment horizontal="left" vertical="top"/>
    </xf>
    <xf numFmtId="0" fontId="1" fillId="0" borderId="1" xfId="0" applyFont="1" applyBorder="1" applyAlignment="1" applyProtection="1">
      <alignment horizontal="center" vertical="top"/>
    </xf>
    <xf numFmtId="0" fontId="0" fillId="2" borderId="1" xfId="0" applyFill="1" applyBorder="1" applyAlignment="1" applyProtection="1">
      <alignment horizontal="left" vertical="top"/>
    </xf>
    <xf numFmtId="0" fontId="0" fillId="2" borderId="1" xfId="0" applyFill="1" applyBorder="1" applyAlignment="1" applyProtection="1">
      <alignment horizontal="left" vertical="top"/>
    </xf>
    <xf numFmtId="0" fontId="3" fillId="2" borderId="1" xfId="0" applyFont="1" applyFill="1" applyBorder="1" applyAlignment="1" applyProtection="1">
      <alignment horizontal="center" vertical="top"/>
    </xf>
    <xf numFmtId="0" fontId="4" fillId="2" borderId="1" xfId="0" applyFont="1" applyFill="1" applyBorder="1" applyAlignment="1" applyProtection="1">
      <alignment horizontal="center" vertical="top"/>
    </xf>
    <xf numFmtId="0" fontId="4" fillId="2" borderId="1" xfId="0" applyFont="1" applyFill="1" applyBorder="1" applyAlignment="1" applyProtection="1">
      <alignment horizontal="center" vertical="top"/>
    </xf>
    <xf numFmtId="0" fontId="0" fillId="3" borderId="1" xfId="0" applyFill="1" applyBorder="1" applyAlignment="1" applyProtection="1">
      <alignment horizontal="left" vertical="top"/>
    </xf>
    <xf numFmtId="0" fontId="0" fillId="3" borderId="1" xfId="0" applyFill="1" applyBorder="1" applyAlignment="1" applyProtection="1">
      <alignment horizontal="left" vertical="top"/>
    </xf>
    <xf numFmtId="0" fontId="2" fillId="3" borderId="1" xfId="0" applyFont="1" applyFill="1" applyBorder="1" applyAlignment="1" applyProtection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3881-A4E4-4BA8-AEF5-C8D7E7AB7217}">
  <dimension ref="A1:H11"/>
  <sheetViews>
    <sheetView tabSelected="1" workbookViewId="0">
      <selection activeCell="L8" sqref="L8"/>
    </sheetView>
  </sheetViews>
  <sheetFormatPr baseColWidth="10" defaultRowHeight="10.199999999999999" x14ac:dyDescent="0.2"/>
  <cols>
    <col min="1" max="1" width="70.85546875" style="1" bestFit="1" customWidth="1"/>
    <col min="2" max="2" width="17.140625" style="1" bestFit="1" customWidth="1"/>
    <col min="3" max="3" width="11.42578125" style="1"/>
    <col min="4" max="4" width="14.5703125" style="1" bestFit="1" customWidth="1"/>
    <col min="5" max="5" width="11.42578125" style="1"/>
    <col min="6" max="6" width="14.5703125" style="1" bestFit="1" customWidth="1"/>
    <col min="7" max="7" width="11.42578125" style="1"/>
    <col min="8" max="8" width="14.5703125" style="1" bestFit="1" customWidth="1"/>
    <col min="9" max="16384" width="11.42578125" style="1"/>
  </cols>
  <sheetData>
    <row r="1" spans="1:8" ht="12.6" x14ac:dyDescent="0.2">
      <c r="A1" s="16"/>
      <c r="B1" s="18" t="s">
        <v>13</v>
      </c>
      <c r="C1" s="17"/>
      <c r="D1" s="17"/>
      <c r="E1" s="17"/>
      <c r="F1" s="17"/>
      <c r="G1" s="17"/>
      <c r="H1" s="16"/>
    </row>
    <row r="2" spans="1:8" x14ac:dyDescent="0.2">
      <c r="A2" s="11"/>
      <c r="B2" s="15" t="s">
        <v>12</v>
      </c>
      <c r="C2" s="12"/>
      <c r="D2" s="12"/>
      <c r="E2" s="12"/>
      <c r="F2" s="12"/>
      <c r="G2" s="12"/>
      <c r="H2" s="11"/>
    </row>
    <row r="3" spans="1:8" x14ac:dyDescent="0.2">
      <c r="A3" s="14" t="s">
        <v>11</v>
      </c>
      <c r="B3" s="12"/>
      <c r="C3" s="12"/>
      <c r="D3" s="12"/>
      <c r="E3" s="12"/>
      <c r="F3" s="12"/>
      <c r="G3" s="12"/>
      <c r="H3" s="11"/>
    </row>
    <row r="4" spans="1:8" x14ac:dyDescent="0.2">
      <c r="A4" s="11"/>
      <c r="B4" s="13" t="s">
        <v>10</v>
      </c>
      <c r="C4" s="12"/>
      <c r="D4" s="12"/>
      <c r="E4" s="12"/>
      <c r="F4" s="12"/>
      <c r="G4" s="12"/>
      <c r="H4" s="11"/>
    </row>
    <row r="5" spans="1:8" x14ac:dyDescent="0.2">
      <c r="A5" s="6"/>
      <c r="B5" s="10" t="s">
        <v>9</v>
      </c>
      <c r="C5" s="10" t="s">
        <v>8</v>
      </c>
      <c r="D5" s="9"/>
      <c r="E5" s="10" t="s">
        <v>7</v>
      </c>
      <c r="F5" s="9"/>
      <c r="G5" s="10" t="s">
        <v>6</v>
      </c>
      <c r="H5" s="9"/>
    </row>
    <row r="6" spans="1:8" x14ac:dyDescent="0.2">
      <c r="A6" s="6"/>
      <c r="B6" s="9"/>
      <c r="C6" s="8" t="s">
        <v>5</v>
      </c>
      <c r="D6" s="8" t="s">
        <v>4</v>
      </c>
      <c r="E6" s="8" t="s">
        <v>5</v>
      </c>
      <c r="F6" s="8" t="s">
        <v>4</v>
      </c>
      <c r="G6" s="8" t="s">
        <v>5</v>
      </c>
      <c r="H6" s="8" t="s">
        <v>4</v>
      </c>
    </row>
    <row r="7" spans="1:8" x14ac:dyDescent="0.2">
      <c r="A7" s="7" t="s">
        <v>3</v>
      </c>
      <c r="B7" s="3">
        <v>24</v>
      </c>
      <c r="C7" s="3">
        <v>1332.96</v>
      </c>
      <c r="D7" s="3">
        <f>($C$7/$B$7)</f>
        <v>55.54</v>
      </c>
      <c r="E7" s="3">
        <v>4928.5</v>
      </c>
      <c r="F7" s="3">
        <f>($E$7/$B$7)</f>
        <v>205.35416666666666</v>
      </c>
      <c r="G7" s="3">
        <v>6261.49</v>
      </c>
      <c r="H7" s="3">
        <f>($G$7/$B$7)</f>
        <v>260.89541666666668</v>
      </c>
    </row>
    <row r="8" spans="1:8" x14ac:dyDescent="0.2">
      <c r="A8" s="7" t="s">
        <v>2</v>
      </c>
      <c r="B8" s="3">
        <v>24</v>
      </c>
      <c r="C8" s="3">
        <v>1320</v>
      </c>
      <c r="D8" s="3">
        <f>($C$8/$B$8)</f>
        <v>55</v>
      </c>
      <c r="E8" s="3">
        <v>3961</v>
      </c>
      <c r="F8" s="3">
        <f>($E$8/$B$8)</f>
        <v>165.04166666666666</v>
      </c>
      <c r="G8" s="3">
        <v>5281</v>
      </c>
      <c r="H8" s="3">
        <f>($G$8/$B$8)</f>
        <v>220.04166666666666</v>
      </c>
    </row>
    <row r="9" spans="1:8" x14ac:dyDescent="0.2">
      <c r="A9" s="6" t="s">
        <v>1</v>
      </c>
      <c r="B9" s="6"/>
      <c r="C9" s="6"/>
      <c r="D9" s="6"/>
      <c r="E9" s="6"/>
      <c r="F9" s="6"/>
      <c r="G9" s="6"/>
      <c r="H9" s="6"/>
    </row>
    <row r="10" spans="1:8" ht="12.6" x14ac:dyDescent="0.2">
      <c r="A10" s="5" t="s">
        <v>0</v>
      </c>
      <c r="B10" s="4">
        <v>24</v>
      </c>
      <c r="C10" s="4">
        <f>SUM($C$7:$C$8)</f>
        <v>2652.96</v>
      </c>
      <c r="D10" s="3">
        <f>($C$10/$B$10)</f>
        <v>110.54</v>
      </c>
      <c r="E10" s="4">
        <f>SUM($E$7:$E$8)</f>
        <v>8889.5</v>
      </c>
      <c r="F10" s="3">
        <f>($E$10/$B$10)</f>
        <v>370.39583333333331</v>
      </c>
      <c r="G10" s="4">
        <f>SUM($G$7:$G$8)</f>
        <v>11542.49</v>
      </c>
      <c r="H10" s="3">
        <f>($G$10/$B$10)</f>
        <v>480.93708333333331</v>
      </c>
    </row>
    <row r="11" spans="1:8" x14ac:dyDescent="0.2">
      <c r="A11" s="2"/>
      <c r="B11" s="2"/>
      <c r="C11" s="2"/>
      <c r="D11" s="2"/>
      <c r="E11" s="2"/>
      <c r="F11" s="2"/>
      <c r="G11" s="2"/>
      <c r="H11" s="2"/>
    </row>
  </sheetData>
  <mergeCells count="8">
    <mergeCell ref="B1:G1"/>
    <mergeCell ref="B2:G2"/>
    <mergeCell ref="B3:G3"/>
    <mergeCell ref="B4:G4"/>
    <mergeCell ref="B5:B6"/>
    <mergeCell ref="C5:D5"/>
    <mergeCell ref="E5:F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2026-05-11T19:25:20Z</dcterms:created>
  <dcterms:modified xsi:type="dcterms:W3CDTF">2026-05-11T19:26:46Z</dcterms:modified>
</cp:coreProperties>
</file>