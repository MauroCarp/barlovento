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\"/>
    </mc:Choice>
  </mc:AlternateContent>
  <xr:revisionPtr revIDLastSave="0" documentId="8_{299D86E1-4629-4122-AFDD-92A17E11C679}" xr6:coauthVersionLast="47" xr6:coauthVersionMax="47" xr10:uidLastSave="{00000000-0000-0000-0000-000000000000}"/>
  <bookViews>
    <workbookView xWindow="-120" yWindow="-120" windowWidth="38640" windowHeight="15720" xr2:uid="{DF2C276D-79D8-4CFA-ADE2-83E1945AD09F}"/>
  </bookViews>
  <sheets>
    <sheet name="Hoja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 s="1"/>
  <c r="E9" i="1"/>
  <c r="F9" i="1" s="1"/>
  <c r="C9" i="1"/>
  <c r="D9" i="1" s="1"/>
  <c r="I7" i="1"/>
  <c r="J9" i="1" s="1"/>
  <c r="H7" i="1"/>
  <c r="F7" i="1"/>
  <c r="D7" i="1"/>
</calcChain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<sst xmlns="http://schemas.openxmlformats.org/spreadsheetml/2006/main" count="20" uniqueCount="16">
  <si>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</si>
  <si>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</si>
  <si>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01/03/2024      Hasta: 30/09/2027</t>
  </si>
  <si>
    <t>(Labor: Cosecha   Lote: EL PICHI\Lote 7   Clase Labor: Cosecha)   Moneda: Moneda: Dolares (U$S)</t>
  </si>
  <si>
    <t>Has. Asignadas</t>
  </si>
  <si>
    <t>Cos. Labor U$S</t>
  </si>
  <si>
    <t>Cos.Insumos U$S</t>
  </si>
  <si>
    <t>Cos. Total U$S</t>
  </si>
  <si>
    <t xml:space="preserve">Rindes 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</si>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</sst>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*;\-#,##0.00"/>
  </numFmts>
  <fonts count="7" x14ac:knownFonts="1">
    <font>
      <sz val="11"/>
      <color theme="1"/>
      <name val="Calibri"/>
      <family val="2"/>
      <scheme val="minor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  <font>
      <b/>
      <sz val="8"/>
      <name val="MS Sans Serif"/>
    </font>
    <font>
      <b/>
      <sz val="8"/>
      <color theme="1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5" fillId="0" borderId="2" xfId="0" applyFont="1" applyBorder="1" applyAlignment="1" applyProtection="1">
      <alignment horizontal="center" vertical="top"/>
      <protection locked="0"/>
    </xf>
    <xf numFmtId="0" fontId="5" fillId="0" borderId="3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AAAA-B097-49FC-B460-09A39D612AFF}">
  <dimension ref="A1:J9"/>
  <sheetViews>
    <sheetView tabSelected="1" workbookViewId="0">
      <selection activeCell="L7" sqref="L7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5"/>
    </row>
    <row r="6" spans="1:10" x14ac:dyDescent="0.25">
      <c r="A6" s="11"/>
      <c r="B6" s="13"/>
      <c r="C6" s="16" t="s">
        <v>9</v>
      </c>
      <c r="D6" s="16" t="s">
        <v>10</v>
      </c>
      <c r="E6" s="16" t="s">
        <v>9</v>
      </c>
      <c r="F6" s="16" t="s">
        <v>10</v>
      </c>
      <c r="G6" s="16" t="s">
        <v>9</v>
      </c>
      <c r="H6" s="16" t="s">
        <v>10</v>
      </c>
      <c r="I6" s="17" t="s">
        <v>11</v>
      </c>
      <c r="J6" s="17" t="s">
        <v>12</v>
      </c>
    </row>
    <row r="7" spans="1:10" x14ac:dyDescent="0.25">
      <c r="A7" s="18" t="s">
        <v>13</v>
      </c>
      <c r="B7" s="19">
        <v>15</v>
      </c>
      <c r="C7" s="19">
        <v>2400.4499999999998</v>
      </c>
      <c r="D7" s="19">
        <f>($C$7/$B$7)</f>
        <v>160.03</v>
      </c>
      <c r="E7" s="19">
        <v>0</v>
      </c>
      <c r="F7" s="19">
        <f>($E$7/$B$7)</f>
        <v>0</v>
      </c>
      <c r="G7" s="19">
        <v>2400.4499999999998</v>
      </c>
      <c r="H7" s="19">
        <f>($G$7/$B$7)</f>
        <v>160.03</v>
      </c>
      <c r="I7" s="20">
        <f>I9/B7</f>
        <v>11241.333333333334</v>
      </c>
      <c r="J7" s="21"/>
    </row>
    <row r="8" spans="1:10" x14ac:dyDescent="0.25">
      <c r="A8" s="11" t="s">
        <v>14</v>
      </c>
      <c r="B8" s="11"/>
      <c r="C8" s="11"/>
      <c r="D8" s="11"/>
      <c r="E8" s="11"/>
      <c r="F8" s="11"/>
      <c r="G8" s="11"/>
      <c r="H8" s="11"/>
      <c r="I8" s="22"/>
      <c r="J8" s="21"/>
    </row>
    <row r="9" spans="1:10" x14ac:dyDescent="0.25">
      <c r="A9" s="23" t="s">
        <v>15</v>
      </c>
      <c r="B9" s="24">
        <v>15</v>
      </c>
      <c r="C9" s="24">
        <f>SUM($C$7:$C$7)</f>
        <v>2400.4499999999998</v>
      </c>
      <c r="D9" s="19">
        <f>($C$9/$B$9)</f>
        <v>160.03</v>
      </c>
      <c r="E9" s="24">
        <f>SUM($E$7:$E$7)</f>
        <v>0</v>
      </c>
      <c r="F9" s="19">
        <f>($E$9/$B$9)</f>
        <v>0</v>
      </c>
      <c r="G9" s="24">
        <f>SUM($G$7:$G$7)</f>
        <v>2400.4499999999998</v>
      </c>
      <c r="H9" s="19">
        <f>($G$9/$B$9)</f>
        <v>160.03</v>
      </c>
      <c r="I9" s="20">
        <v>168620</v>
      </c>
      <c r="J9" s="20">
        <f>I7/100</f>
        <v>112.41333333333334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2026-03-11T14:04:30Z</dcterms:created>
  <dcterms:modified xsi:type="dcterms:W3CDTF">2026-03-11T16:12:41Z</dcterms:modified>
</cp:coreProperties>
</file>