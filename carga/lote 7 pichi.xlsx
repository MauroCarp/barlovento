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Nueva carpeta\"/>
    </mc:Choice>
  </mc:AlternateContent>
  <xr:revisionPtr revIDLastSave="0" documentId="8_{2B80B0EB-E030-4D76-92E0-A3D2F487A3B9}" xr6:coauthVersionLast="47" xr6:coauthVersionMax="47" xr10:uidLastSave="{00000000-0000-0000-0000-000000000000}"/>
  <bookViews>
    <workbookView xWindow="-120" yWindow="-120" windowWidth="38640" windowHeight="15720" xr2:uid="{DF2C276D-79D8-4CFA-ADE2-83E1945AD09F}"/>
  </bookViews>
  <sheets>
    <sheet name="Hoja1" sheetId="1" r:id="rId1"/>
  </sheets>
  <calcPr calcId="191029" iterateCount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" l="1"/>
  <c r="H9" i="1" s="1"/>
  <c r="E9" i="1"/>
  <c r="F9" i="1" s="1"/>
  <c r="C9" i="1"/>
  <c r="D9" i="1" s="1"/>
  <c r="I7" i="1"/>
  <c r="J9" i="1" s="1"/>
  <c r="H7" i="1"/>
  <c r="F7" i="1"/>
  <c r="D7" i="1"/>
</calcChain>
</file>

<file path=xl/sharedStrings.xml><?xml version="1.0" encoding="utf-8"?>
<sst xmlns="http://schemas.openxmlformats.org/spreadsheetml/2006/main" count="20" uniqueCount="16">
  <si>
    <t>Partes de Trabajo y Otras Tareas - Resumen (Cultivos)</t>
  </si>
  <si>
    <t xml:space="preserve">Por Labor - Propias y Contratadas - </t>
  </si>
  <si>
    <t>Campaña: Campaña 25-26  -  Desde: 01/03/2024      Hasta: 30/09/2027</t>
  </si>
  <si>
    <t>(Labor: Cosecha   Lote: EL PICHI\Lote 7   Clase Labor: Cosecha)   Moneda: Moneda: Dolares (U$S)</t>
  </si>
  <si>
    <t>Has. Asignadas</t>
  </si>
  <si>
    <t>Cos. Labor U$S</t>
  </si>
  <si>
    <t>Cos.Insumos U$S</t>
  </si>
  <si>
    <t>Cos. Total U$S</t>
  </si>
  <si>
    <t xml:space="preserve">Rindes </t>
  </si>
  <si>
    <t>U$S</t>
  </si>
  <si>
    <t>U$S/Ha.Asig.</t>
  </si>
  <si>
    <t>kg/ha</t>
  </si>
  <si>
    <t>QQ</t>
  </si>
  <si>
    <t>Cosecha</t>
  </si>
  <si>
    <t xml:space="preserve">   </t>
  </si>
  <si>
    <t>Totales: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</si>
</sst>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*;\-#,##0.00"/>
  </numFmts>
  <fonts count="7" x14ac:knownFonts="1">
    <font>
      <sz val="11"/>
      <color theme="1"/>
      <name val="Calibri"/>
      <family val="2"/>
      <scheme val="minor"/>
    </font>
    <font>
      <b/>
      <sz val="10"/>
      <name val="MS Sans Serif"/>
      <charset val="1"/>
    </font>
    <font>
      <b/>
      <sz val="9"/>
      <name val="MS Sans Serif"/>
      <charset val="1"/>
    </font>
    <font>
      <sz val="9"/>
      <name val="MS Sans Serif"/>
      <charset val="1"/>
    </font>
    <font>
      <b/>
      <sz val="8"/>
      <name val="MS Sans Serif"/>
      <charset val="1"/>
    </font>
    <font>
      <b/>
      <sz val="8"/>
      <name val="MS Sans Serif"/>
    </font>
    <font>
      <b/>
      <sz val="8"/>
      <color theme="1"/>
      <name val="MS Sans Serif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1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 applyProtection="1">
      <alignment horizontal="left" vertical="top"/>
      <protection locked="0"/>
    </xf>
    <xf numFmtId="0" fontId="0" fillId="3" borderId="1" xfId="0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horizontal="left" vertical="top"/>
    </xf>
    <xf numFmtId="0" fontId="0" fillId="3" borderId="1" xfId="0" applyFill="1" applyBorder="1" applyAlignment="1" applyProtection="1">
      <alignment horizontal="left" vertical="top"/>
      <protection locked="0"/>
    </xf>
    <xf numFmtId="0" fontId="2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5" fillId="0" borderId="2" xfId="0" applyFont="1" applyBorder="1" applyAlignment="1" applyProtection="1">
      <alignment horizontal="center" vertical="top"/>
      <protection locked="0"/>
    </xf>
    <xf numFmtId="0" fontId="5" fillId="0" borderId="3" xfId="0" applyFont="1" applyBorder="1" applyAlignment="1" applyProtection="1">
      <alignment horizontal="center" vertical="top"/>
      <protection locked="0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 applyProtection="1">
      <alignment horizontal="center" vertical="top"/>
      <protection locked="0"/>
    </xf>
    <xf numFmtId="0" fontId="4" fillId="0" borderId="1" xfId="0" applyFont="1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center" vertical="top"/>
      <protection locked="0"/>
    </xf>
    <xf numFmtId="0" fontId="1" fillId="0" borderId="1" xfId="0" applyFont="1" applyBorder="1" applyAlignment="1">
      <alignment horizontal="left" vertical="top"/>
    </xf>
    <xf numFmtId="164" fontId="4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0AAAA-B097-49FC-B460-09A39D612AFF}">
  <dimension ref="A1:J9"/>
  <sheetViews>
    <sheetView tabSelected="1" workbookViewId="0">
      <selection sqref="A1:J9"/>
    </sheetView>
  </sheetViews>
  <sheetFormatPr baseColWidth="10" defaultRowHeight="15" x14ac:dyDescent="0.25"/>
  <sheetData>
    <row r="1" spans="1:10" x14ac:dyDescent="0.25">
      <c r="A1" s="1"/>
      <c r="B1" s="2" t="s">
        <v>0</v>
      </c>
      <c r="C1" s="3"/>
      <c r="D1" s="3"/>
      <c r="E1" s="3"/>
      <c r="F1" s="3"/>
      <c r="G1" s="3"/>
      <c r="H1" s="1"/>
      <c r="I1" s="4"/>
      <c r="J1" s="4"/>
    </row>
    <row r="2" spans="1:10" x14ac:dyDescent="0.25">
      <c r="A2" s="5"/>
      <c r="B2" s="6" t="s">
        <v>1</v>
      </c>
      <c r="C2" s="7"/>
      <c r="D2" s="7"/>
      <c r="E2" s="7"/>
      <c r="F2" s="7"/>
      <c r="G2" s="7"/>
      <c r="H2" s="5"/>
      <c r="I2" s="8"/>
      <c r="J2" s="8"/>
    </row>
    <row r="3" spans="1:10" x14ac:dyDescent="0.25">
      <c r="A3" s="9" t="s">
        <v>2</v>
      </c>
      <c r="B3" s="7"/>
      <c r="C3" s="7"/>
      <c r="D3" s="7"/>
      <c r="E3" s="7"/>
      <c r="F3" s="7"/>
      <c r="G3" s="7"/>
      <c r="H3" s="5"/>
      <c r="I3" s="8"/>
      <c r="J3" s="8"/>
    </row>
    <row r="4" spans="1:10" x14ac:dyDescent="0.25">
      <c r="A4" s="5"/>
      <c r="B4" s="10" t="s">
        <v>3</v>
      </c>
      <c r="C4" s="7"/>
      <c r="D4" s="7"/>
      <c r="E4" s="7"/>
      <c r="F4" s="7"/>
      <c r="G4" s="7"/>
      <c r="H4" s="5"/>
      <c r="I4" s="8"/>
      <c r="J4" s="8"/>
    </row>
    <row r="5" spans="1:10" x14ac:dyDescent="0.25">
      <c r="A5" s="11"/>
      <c r="B5" s="12" t="s">
        <v>4</v>
      </c>
      <c r="C5" s="12" t="s">
        <v>5</v>
      </c>
      <c r="D5" s="13"/>
      <c r="E5" s="12" t="s">
        <v>6</v>
      </c>
      <c r="F5" s="13"/>
      <c r="G5" s="12" t="s">
        <v>7</v>
      </c>
      <c r="H5" s="13"/>
      <c r="I5" s="14" t="s">
        <v>8</v>
      </c>
      <c r="J5" s="15"/>
    </row>
    <row r="6" spans="1:10" x14ac:dyDescent="0.25">
      <c r="A6" s="11"/>
      <c r="B6" s="13"/>
      <c r="C6" s="16" t="s">
        <v>9</v>
      </c>
      <c r="D6" s="16" t="s">
        <v>10</v>
      </c>
      <c r="E6" s="16" t="s">
        <v>9</v>
      </c>
      <c r="F6" s="16" t="s">
        <v>10</v>
      </c>
      <c r="G6" s="16" t="s">
        <v>9</v>
      </c>
      <c r="H6" s="16" t="s">
        <v>10</v>
      </c>
      <c r="I6" s="17" t="s">
        <v>11</v>
      </c>
      <c r="J6" s="17" t="s">
        <v>12</v>
      </c>
    </row>
    <row r="7" spans="1:10" x14ac:dyDescent="0.25">
      <c r="A7" s="18" t="s">
        <v>13</v>
      </c>
      <c r="B7" s="19">
        <v>15</v>
      </c>
      <c r="C7" s="19">
        <v>2400.4499999999998</v>
      </c>
      <c r="D7" s="19">
        <f>($C$7/$B$7)</f>
        <v>160.03</v>
      </c>
      <c r="E7" s="19">
        <v>0</v>
      </c>
      <c r="F7" s="19">
        <f>($E$7/$B$7)</f>
        <v>0</v>
      </c>
      <c r="G7" s="19">
        <v>2400.4499999999998</v>
      </c>
      <c r="H7" s="19">
        <f>($G$7/$B$7)</f>
        <v>160.03</v>
      </c>
      <c r="I7" s="20">
        <f>I9/B7</f>
        <v>11241.333333333334</v>
      </c>
      <c r="J7" s="21"/>
    </row>
    <row r="8" spans="1:10" x14ac:dyDescent="0.25">
      <c r="A8" s="11" t="s">
        <v>14</v>
      </c>
      <c r="B8" s="11"/>
      <c r="C8" s="11"/>
      <c r="D8" s="11"/>
      <c r="E8" s="11"/>
      <c r="F8" s="11"/>
      <c r="G8" s="11"/>
      <c r="H8" s="11"/>
      <c r="I8" s="22"/>
      <c r="J8" s="21"/>
    </row>
    <row r="9" spans="1:10" x14ac:dyDescent="0.25">
      <c r="A9" s="23" t="s">
        <v>15</v>
      </c>
      <c r="B9" s="24">
        <v>15</v>
      </c>
      <c r="C9" s="24">
        <f>SUM($C$7:$C$7)</f>
        <v>2400.4499999999998</v>
      </c>
      <c r="D9" s="19">
        <f>($C$9/$B$9)</f>
        <v>160.03</v>
      </c>
      <c r="E9" s="24">
        <f>SUM($E$7:$E$7)</f>
        <v>0</v>
      </c>
      <c r="F9" s="19">
        <f>($E$9/$B$9)</f>
        <v>0</v>
      </c>
      <c r="G9" s="24">
        <f>SUM($G$7:$G$7)</f>
        <v>2400.4499999999998</v>
      </c>
      <c r="H9" s="19">
        <f>($G$9/$B$9)</f>
        <v>160.03</v>
      </c>
      <c r="I9" s="20">
        <v>168620</v>
      </c>
      <c r="J9" s="20">
        <f>I7/100</f>
        <v>112.41333333333334</v>
      </c>
    </row>
  </sheetData>
  <mergeCells count="9">
    <mergeCell ref="I5:J5"/>
    <mergeCell ref="B1:G1"/>
    <mergeCell ref="B2:G2"/>
    <mergeCell ref="B3:G3"/>
    <mergeCell ref="B4:G4"/>
    <mergeCell ref="B5:B6"/>
    <mergeCell ref="C5:D5"/>
    <mergeCell ref="E5:F5"/>
    <mergeCell ref="G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2026-03-11T14:04:30Z</dcterms:created>
  <dcterms:modified xsi:type="dcterms:W3CDTF">2026-03-11T14:04:41Z</dcterms:modified>
</cp:coreProperties>
</file>